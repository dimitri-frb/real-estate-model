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€"/>
    <numFmt numFmtId="165" formatCode="0.0%"/>
    <numFmt numFmtId="166" formatCode="0.0"/>
    <numFmt numFmtId="167" formatCode="0.0x"/>
    <numFmt numFmtId="168" formatCode="0.00x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66666"/>
      <sz val="10"/>
    </font>
    <font>
      <name val="Arial"/>
      <color rgb="000000FF"/>
      <sz val="11"/>
    </font>
    <font>
      <name val="Arial"/>
      <b val="1"/>
      <color rgb="001B2A4A"/>
      <sz val="14"/>
    </font>
    <font>
      <name val="Arial"/>
      <b val="1"/>
      <color rgb="004A4A4A"/>
      <sz val="11"/>
    </font>
    <font>
      <name val="Arial"/>
      <sz val="11"/>
    </font>
    <font>
      <name val="Arial"/>
      <b val="1"/>
      <sz val="11"/>
    </font>
    <font>
      <name val="Arial"/>
      <b val="1"/>
      <color rgb="00888888"/>
      <sz val="9"/>
    </font>
    <font>
      <name val="Arial"/>
      <b val="1"/>
      <color rgb="001B7A3D"/>
      <sz val="12"/>
    </font>
    <font>
      <name val="Arial"/>
      <b val="1"/>
      <color rgb="001B7A3D"/>
      <sz val="11"/>
    </font>
    <font>
      <name val="Arial"/>
      <b val="1"/>
      <color rgb="00666666"/>
      <sz val="9"/>
    </font>
    <font>
      <name val="Arial"/>
      <color rgb="00CC0000"/>
      <sz val="1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0"/>
      </patternFill>
    </fill>
    <fill>
      <patternFill patternType="solid">
        <fgColor rgb="00F8F9FB"/>
      </patternFill>
    </fill>
    <fill>
      <patternFill patternType="solid">
        <fgColor rgb="00F0F4F8"/>
      </patternFill>
    </fill>
    <fill>
      <patternFill patternType="solid">
        <fgColor rgb="00E8ECF0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bottom style="thin">
        <color rgb="00D0D0D0"/>
      </bottom>
    </border>
    <border>
      <top style="medium">
        <color rgb="001B2A4A"/>
      </top>
      <bottom style="medium">
        <color rgb="001B2A4A"/>
      </bottom>
    </border>
    <border/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1" pivotButton="0" quotePrefix="0" xfId="0"/>
    <xf numFmtId="0" fontId="3" fillId="3" borderId="0" pivotButton="0" quotePrefix="0" xfId="0"/>
    <xf numFmtId="0" fontId="2" fillId="4" borderId="0" pivotButton="0" quotePrefix="0" xfId="0"/>
    <xf numFmtId="165" fontId="4" fillId="4" borderId="0" pivotButton="0" quotePrefix="0" xfId="0"/>
    <xf numFmtId="0" fontId="0" fillId="4" borderId="0" pivotButton="0" quotePrefix="0" xfId="0"/>
    <xf numFmtId="3" fontId="3" fillId="3" borderId="0" pivotButton="0" quotePrefix="0" xfId="0"/>
    <xf numFmtId="164" fontId="3" fillId="3" borderId="0" pivotButton="0" quotePrefix="0" xfId="0"/>
    <xf numFmtId="166" fontId="4" fillId="4" borderId="0" pivotButton="0" quotePrefix="0" xfId="0"/>
    <xf numFmtId="167" fontId="4" fillId="4" borderId="0" pivotButton="0" quotePrefix="0" xfId="0"/>
    <xf numFmtId="0" fontId="5" fillId="5" borderId="1" pivotButton="0" quotePrefix="0" xfId="0"/>
    <xf numFmtId="0" fontId="0" fillId="5" borderId="1" pivotButton="0" quotePrefix="0" xfId="0"/>
    <xf numFmtId="164" fontId="6" fillId="0" borderId="1" pivotButton="0" quotePrefix="0" xfId="0"/>
    <xf numFmtId="165" fontId="3" fillId="3" borderId="0" pivotButton="0" quotePrefix="0" xfId="0"/>
    <xf numFmtId="0" fontId="7" fillId="6" borderId="2" pivotButton="0" quotePrefix="0" xfId="0"/>
    <xf numFmtId="164" fontId="7" fillId="6" borderId="2" pivotButton="0" quotePrefix="0" xfId="0"/>
    <xf numFmtId="0" fontId="0" fillId="6" borderId="2" pivotButton="0" quotePrefix="0" xfId="0"/>
    <xf numFmtId="0" fontId="2" fillId="0" borderId="3" pivotButton="0" quotePrefix="0" xfId="0"/>
    <xf numFmtId="0" fontId="8" fillId="5" borderId="1" pivotButton="0" quotePrefix="0" xfId="0"/>
    <xf numFmtId="165" fontId="6" fillId="6" borderId="1" pivotButton="0" quotePrefix="0" xfId="0"/>
    <xf numFmtId="164" fontId="10" fillId="6" borderId="2" pivotButton="0" quotePrefix="0" xfId="0"/>
    <xf numFmtId="165" fontId="7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" fontId="6" fillId="0" borderId="1" pivotButton="0" quotePrefix="0" xfId="0"/>
    <xf numFmtId="164" fontId="7" fillId="0" borderId="1" pivotButton="0" quotePrefix="0" xfId="0"/>
    <xf numFmtId="168" fontId="7" fillId="0" borderId="1" pivotButton="0" quotePrefix="0" xfId="0"/>
    <xf numFmtId="0" fontId="7" fillId="7" borderId="0" pivotButton="0" quotePrefix="0" xfId="0"/>
    <xf numFmtId="164" fontId="9" fillId="7" borderId="0" pivotButton="0" quotePrefix="0" xfId="0"/>
    <xf numFmtId="0" fontId="0" fillId="7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2" fillId="0" borderId="0" pivotButton="0" quotePrefix="0" xfId="0"/>
    <xf numFmtId="0" fontId="11" fillId="5" borderId="0" applyAlignment="1" pivotButton="0" quotePrefix="0" xfId="0">
      <alignment horizontal="center"/>
    </xf>
    <xf numFmtId="164" fontId="12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6" borderId="0" pivotButton="0" quotePrefix="0" xfId="0"/>
    <xf numFmtId="0" fontId="6" fillId="6" borderId="0" pivotButton="0" quotePrefix="0" xfId="0"/>
    <xf numFmtId="164" fontId="7" fillId="6" borderId="0" pivotButton="0" quotePrefix="0" xfId="0"/>
    <xf numFmtId="164" fontId="10" fillId="6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14" customWidth="1" min="4" max="4"/>
    <col width="3" customWidth="1" min="5" max="5"/>
    <col width="32" customWidth="1" min="6" max="6"/>
    <col width="18" customWidth="1" min="7" max="7"/>
    <col width="14" customWidth="1" min="8" max="8"/>
    <col width="3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1. THE ASSET</t>
        </is>
      </c>
      <c r="C2" s="2" t="n"/>
      <c r="D2" s="2" t="n"/>
      <c r="F2" s="1" t="inlineStr">
        <is>
          <t>4. KPIs</t>
        </is>
      </c>
      <c r="G2" s="2" t="n"/>
      <c r="H2" s="2" t="n"/>
    </row>
    <row r="3">
      <c r="B3" s="3" t="inlineStr">
        <is>
          <t>Property Name</t>
        </is>
      </c>
      <c r="C3" s="4" t="inlineStr">
        <is>
          <t>Beaune La Montagne</t>
        </is>
      </c>
      <c r="F3" s="5" t="inlineStr">
        <is>
          <t>Gross Yield</t>
        </is>
      </c>
      <c r="G3" s="6">
        <f>G18/C28</f>
        <v/>
      </c>
      <c r="H3" s="7" t="n"/>
    </row>
    <row r="4">
      <c r="B4" s="3" t="inlineStr">
        <is>
          <t>Location</t>
        </is>
      </c>
      <c r="C4" s="4" t="inlineStr">
        <is>
          <t>Beaune, France</t>
        </is>
      </c>
      <c r="F4" s="5" t="inlineStr">
        <is>
          <t>Net Yield (EBITDA/Cost)</t>
        </is>
      </c>
      <c r="G4" s="6">
        <f>G24/C28</f>
        <v/>
      </c>
      <c r="H4" s="7" t="n"/>
    </row>
    <row r="5">
      <c r="B5" s="3" t="inlineStr">
        <is>
          <t>Country</t>
        </is>
      </c>
      <c r="C5" s="4" t="inlineStr">
        <is>
          <t>France</t>
        </is>
      </c>
      <c r="F5" s="5" t="inlineStr">
        <is>
          <t>EBITDA Margin</t>
        </is>
      </c>
      <c r="G5" s="6">
        <f>G24/G18</f>
        <v/>
      </c>
      <c r="H5" s="7" t="n"/>
    </row>
    <row r="6">
      <c r="B6" s="3" t="inlineStr">
        <is>
          <t>Total sqm</t>
        </is>
      </c>
      <c r="C6" s="8" t="n">
        <v>256</v>
      </c>
      <c r="F6" s="5" t="inlineStr">
        <is>
          <t>Cash-on-Cash (yr 1)</t>
        </is>
      </c>
      <c r="G6" s="6">
        <f>G27/C37</f>
        <v/>
      </c>
      <c r="H6" s="7" t="n"/>
    </row>
    <row r="7">
      <c r="B7" s="3" t="inlineStr">
        <is>
          <t>Purchase Price</t>
        </is>
      </c>
      <c r="C7" s="9" t="n">
        <v>650000</v>
      </c>
      <c r="F7" s="5" t="inlineStr">
        <is>
          <t>Payback (years)</t>
        </is>
      </c>
      <c r="G7" s="10">
        <f>C37/G27</f>
        <v/>
      </c>
      <c r="H7" s="7" t="n"/>
    </row>
    <row r="8">
      <c r="B8" s="3" t="inlineStr">
        <is>
          <t>Est. Acquisition Date</t>
        </is>
      </c>
      <c r="C8" s="4" t="inlineStr">
        <is>
          <t>Sep 2026</t>
        </is>
      </c>
      <c r="F8" s="5" t="inlineStr">
        <is>
          <t>Debt / Equity</t>
        </is>
      </c>
      <c r="G8" s="11">
        <f>C38/C37</f>
        <v/>
      </c>
      <c r="H8" s="7" t="n"/>
    </row>
    <row r="9">
      <c r="B9" s="3" t="inlineStr">
        <is>
          <t>Notes</t>
        </is>
      </c>
      <c r="C9" s="4" t="inlineStr"/>
      <c r="F9" s="5" t="inlineStr">
        <is>
          <t>LTV</t>
        </is>
      </c>
      <c r="G9" s="6">
        <f>C38/C28</f>
        <v/>
      </c>
      <c r="H9" s="7" t="n"/>
    </row>
    <row r="11">
      <c r="B11" s="1" t="inlineStr">
        <is>
          <t>2. TOTAL PROJECT COST</t>
        </is>
      </c>
      <c r="C11" s="2" t="n"/>
      <c r="D11" s="2" t="n"/>
      <c r="F11" s="1" t="inlineStr">
        <is>
          <t>4. REVENUE MODEL (Annual)</t>
        </is>
      </c>
      <c r="G11" s="2" t="n"/>
      <c r="H11" s="2" t="n"/>
    </row>
    <row r="12">
      <c r="B12" s="12" t="inlineStr">
        <is>
          <t>Acquisition</t>
        </is>
      </c>
      <c r="C12" s="13" t="n"/>
      <c r="D12" s="13" t="n"/>
      <c r="F12" s="12" t="inlineStr">
        <is>
          <t>Short-Term Rental Income</t>
        </is>
      </c>
      <c r="G12" s="13" t="n"/>
      <c r="H12" s="13" t="n"/>
    </row>
    <row r="13">
      <c r="B13" s="3" t="inlineStr">
        <is>
          <t>Purchase Price</t>
        </is>
      </c>
      <c r="C13" s="14">
        <f>C7</f>
        <v/>
      </c>
      <c r="F13" s="3" t="inlineStr">
        <is>
          <t>Average Daily Rate (ADR)</t>
        </is>
      </c>
      <c r="G13" s="9" t="n">
        <v>350</v>
      </c>
    </row>
    <row r="14">
      <c r="B14" s="3" t="inlineStr">
        <is>
          <t>Transfer Tax / Notary</t>
        </is>
      </c>
      <c r="C14" s="15" t="n">
        <v>0.075</v>
      </c>
      <c r="D14" s="14">
        <f>C13*C14</f>
        <v/>
      </c>
      <c r="F14" s="3" t="inlineStr">
        <is>
          <t>Occupancy Rate</t>
        </is>
      </c>
      <c r="G14" s="15" t="n">
        <v>0.7</v>
      </c>
    </row>
    <row r="15">
      <c r="B15" s="3" t="inlineStr">
        <is>
          <t>Broker / Agency Fee</t>
        </is>
      </c>
      <c r="C15" s="15" t="n">
        <v>0</v>
      </c>
      <c r="D15" s="14">
        <f>C13*C15</f>
        <v/>
      </c>
      <c r="F15" s="3" t="inlineStr">
        <is>
          <t>Bookable Nights / Year</t>
        </is>
      </c>
      <c r="G15" s="8" t="n">
        <v>365</v>
      </c>
    </row>
    <row r="16">
      <c r="B16" s="3" t="inlineStr">
        <is>
          <t>Other Acquisition Costs</t>
        </is>
      </c>
      <c r="C16" s="9" t="n">
        <v>0</v>
      </c>
      <c r="F16" s="3" t="inlineStr">
        <is>
          <t>Number of Units</t>
        </is>
      </c>
      <c r="G16" s="8" t="n">
        <v>1</v>
      </c>
    </row>
    <row r="17">
      <c r="B17" s="16" t="inlineStr">
        <is>
          <t>Total Acquisition</t>
        </is>
      </c>
      <c r="C17" s="17">
        <f>C13+D14+D15+C16</f>
        <v/>
      </c>
      <c r="D17" s="18" t="n"/>
      <c r="F17" s="19" t="inlineStr"/>
    </row>
    <row r="18">
      <c r="F18" s="16" t="inlineStr">
        <is>
          <t>GROSS REVENUE</t>
        </is>
      </c>
      <c r="G18" s="17">
        <f>G13*G14*G15*G16</f>
        <v/>
      </c>
      <c r="H18" s="18" t="n"/>
    </row>
    <row r="19">
      <c r="B19" s="12" t="inlineStr">
        <is>
          <t>Construction &amp; Renovation</t>
        </is>
      </c>
      <c r="C19" s="13" t="n"/>
      <c r="D19" s="20" t="inlineStr">
        <is>
          <t>Total</t>
        </is>
      </c>
    </row>
    <row r="20">
      <c r="B20" s="3" t="inlineStr">
        <is>
          <t>Renovation / Construction (€/sqm)</t>
        </is>
      </c>
      <c r="C20" s="9" t="n">
        <v>1200</v>
      </c>
      <c r="D20" s="14">
        <f>C20*C6</f>
        <v/>
      </c>
      <c r="F20" s="12" t="inlineStr">
        <is>
          <t>Operating Costs</t>
        </is>
      </c>
      <c r="G20" s="13" t="n"/>
      <c r="H20" s="20" t="inlineStr">
        <is>
          <t>% rev</t>
        </is>
      </c>
    </row>
    <row r="21">
      <c r="B21" s="3" t="inlineStr">
        <is>
          <t>FF&amp;E / Furnishing (€/sqm)</t>
        </is>
      </c>
      <c r="C21" s="9" t="n">
        <v>200</v>
      </c>
      <c r="D21" s="14">
        <f>C21*C6</f>
        <v/>
      </c>
      <c r="F21" s="3" t="inlineStr">
        <is>
          <t>Platform / OTA Fees</t>
        </is>
      </c>
      <c r="G21" s="15" t="n">
        <v>0.15</v>
      </c>
      <c r="H21" s="14">
        <f>G18*G21</f>
        <v/>
      </c>
    </row>
    <row r="22">
      <c r="B22" s="3" t="inlineStr">
        <is>
          <t>Soft Costs (architect, permits, mgmt)</t>
        </is>
      </c>
      <c r="C22" s="9" t="n">
        <v>0</v>
      </c>
      <c r="F22" s="3" t="inlineStr">
        <is>
          <t>Cleaning &amp; Services</t>
        </is>
      </c>
      <c r="G22" s="15" t="n">
        <v>0.1</v>
      </c>
      <c r="H22" s="14">
        <f>G18*G22</f>
        <v/>
      </c>
    </row>
    <row r="23">
      <c r="B23" s="3" t="inlineStr">
        <is>
          <t>Buffer / Contingency</t>
        </is>
      </c>
      <c r="C23" s="15" t="n">
        <v>0.05</v>
      </c>
      <c r="D23" s="14">
        <f>D20*C23</f>
        <v/>
      </c>
      <c r="F23" s="3" t="inlineStr">
        <is>
          <t>Property Tax, Insurance &amp; Maint.</t>
        </is>
      </c>
      <c r="G23" s="9" t="n">
        <v>10000</v>
      </c>
    </row>
    <row r="24">
      <c r="B24" s="16" t="inlineStr">
        <is>
          <t>Total Capex</t>
        </is>
      </c>
      <c r="C24" s="17">
        <f>D20+D21+C22+D23</f>
        <v/>
      </c>
      <c r="D24" s="18" t="n"/>
      <c r="F24" s="16" t="inlineStr">
        <is>
          <t>EBITDA</t>
        </is>
      </c>
      <c r="G24" s="17">
        <f>G18-H21-H22-G23</f>
        <v/>
      </c>
      <c r="H24" s="21">
        <f>G24/G18</f>
        <v/>
      </c>
    </row>
    <row r="26">
      <c r="B26" s="19" t="inlineStr"/>
      <c r="F26" s="3" t="inlineStr">
        <is>
          <t>Debt Service (annual)</t>
        </is>
      </c>
      <c r="G26" s="14">
        <f>C50</f>
        <v/>
      </c>
    </row>
    <row r="27">
      <c r="B27" s="3" t="inlineStr">
        <is>
          <t>Cost per sqm</t>
        </is>
      </c>
      <c r="C27" s="14">
        <f>C28/C6</f>
        <v/>
      </c>
      <c r="F27" s="16" t="inlineStr">
        <is>
          <t>FREE CASH FLOW</t>
        </is>
      </c>
      <c r="G27" s="22">
        <f>G24-G26</f>
        <v/>
      </c>
      <c r="H27" s="18" t="n"/>
    </row>
    <row r="28">
      <c r="B28" s="16" t="inlineStr">
        <is>
          <t>TOTAL PROJECT COST</t>
        </is>
      </c>
      <c r="C28" s="17">
        <f>C17+C24</f>
        <v/>
      </c>
      <c r="D28" s="18" t="n"/>
    </row>
    <row r="30">
      <c r="B30" s="1" t="inlineStr">
        <is>
          <t>3. FINANCING</t>
        </is>
      </c>
      <c r="C30" s="2" t="n"/>
      <c r="D30" s="2" t="n"/>
      <c r="F30" s="1" t="inlineStr">
        <is>
          <t>5. SCENARIO ANALYSIS</t>
        </is>
      </c>
      <c r="G30" s="2" t="n"/>
      <c r="H30" s="2" t="n"/>
      <c r="I30" s="2" t="n"/>
      <c r="J30" s="2" t="n"/>
      <c r="K30" s="2" t="n"/>
      <c r="L30" s="2" t="n"/>
    </row>
    <row r="31">
      <c r="B31" s="12" t="inlineStr">
        <is>
          <t>Tranche 1 — Acquisition</t>
        </is>
      </c>
      <c r="C31" s="13" t="n"/>
      <c r="D31" s="13" t="n"/>
      <c r="F31" s="12" t="inlineStr">
        <is>
          <t>A. FLIP (Resell)</t>
        </is>
      </c>
      <c r="G31" s="13" t="n"/>
      <c r="I31" s="12" t="inlineStr">
        <is>
          <t>B. HOLD &amp; SELL</t>
        </is>
      </c>
      <c r="J31" s="13" t="n"/>
      <c r="K31" s="12" t="inlineStr">
        <is>
          <t>C. HOLD LONG TERM</t>
        </is>
      </c>
      <c r="L31" s="13" t="n"/>
    </row>
    <row r="32">
      <c r="B32" s="3" t="inlineStr">
        <is>
          <t>Source</t>
        </is>
      </c>
      <c r="C32" s="4" t="inlineStr">
        <is>
          <t>Bank Loan</t>
        </is>
      </c>
      <c r="F32" s="3" t="inlineStr">
        <is>
          <t>Sale Price</t>
        </is>
      </c>
      <c r="G32" s="9" t="n">
        <v>1350000</v>
      </c>
      <c r="I32" s="3" t="inlineStr">
        <is>
          <t>Hold Period (years)</t>
        </is>
      </c>
      <c r="J32" s="8" t="n">
        <v>10</v>
      </c>
      <c r="K32" s="3" t="inlineStr">
        <is>
          <t>Annual Free Cash Flow</t>
        </is>
      </c>
      <c r="L32" s="14">
        <f>G27</f>
        <v/>
      </c>
    </row>
    <row r="33">
      <c r="B33" s="3" t="inlineStr">
        <is>
          <t>Loan-to-Cost %</t>
        </is>
      </c>
      <c r="C33" s="15" t="n">
        <v>0.6</v>
      </c>
      <c r="D33" s="14">
        <f>C17*C33</f>
        <v/>
      </c>
      <c r="F33" s="3" t="inlineStr">
        <is>
          <t>Sale Commission</t>
        </is>
      </c>
      <c r="G33" s="15" t="n">
        <v>0.05</v>
      </c>
      <c r="I33" s="3" t="inlineStr">
        <is>
          <t>Sale Price at Exit</t>
        </is>
      </c>
      <c r="J33" s="9" t="n">
        <v>1350000</v>
      </c>
      <c r="K33" s="3" t="inlineStr">
        <is>
          <t>Cash Yield on Equity</t>
        </is>
      </c>
      <c r="L33" s="23">
        <f>G27/C48</f>
        <v/>
      </c>
    </row>
    <row r="34">
      <c r="B34" s="3" t="inlineStr">
        <is>
          <t>Interest Rate</t>
        </is>
      </c>
      <c r="C34" s="15" t="n">
        <v>0.03</v>
      </c>
      <c r="F34" s="3" t="inlineStr">
        <is>
          <t>Capital Gains Tax</t>
        </is>
      </c>
      <c r="G34" s="15" t="n">
        <v>0</v>
      </c>
      <c r="I34" s="3" t="inlineStr">
        <is>
          <t>Sale Commission</t>
        </is>
      </c>
      <c r="J34" s="15" t="n">
        <v>0.05</v>
      </c>
      <c r="K34" s="3" t="inlineStr">
        <is>
          <t>EBITDA Yield on Cost</t>
        </is>
      </c>
      <c r="L34" s="24">
        <f>G24/C28</f>
        <v/>
      </c>
    </row>
    <row r="35">
      <c r="B35" s="3" t="inlineStr">
        <is>
          <t>Term (years)</t>
        </is>
      </c>
      <c r="C35" s="8" t="n">
        <v>20</v>
      </c>
      <c r="F35" s="3" t="inlineStr">
        <is>
          <t>Net Proceeds</t>
        </is>
      </c>
      <c r="G35" s="14">
        <f>G32*(1-G33)*(1-G34)</f>
        <v/>
      </c>
      <c r="I35" s="3" t="inlineStr">
        <is>
          <t>Capital Gains Tax</t>
        </is>
      </c>
      <c r="J35" s="15" t="n">
        <v>0</v>
      </c>
      <c r="K35" s="3" t="inlineStr">
        <is>
          <t>Payback (years)</t>
        </is>
      </c>
      <c r="L35" s="25">
        <f>C48/G27</f>
        <v/>
      </c>
    </row>
    <row r="36">
      <c r="B36" s="3" t="inlineStr">
        <is>
          <t>Type</t>
        </is>
      </c>
      <c r="C36" s="4" t="inlineStr">
        <is>
          <t>Amortizing</t>
        </is>
      </c>
      <c r="F36" s="3" t="inlineStr">
        <is>
          <t>Margin on Cost</t>
        </is>
      </c>
      <c r="G36" s="23">
        <f>(G35-C28)/C28</f>
        <v/>
      </c>
      <c r="I36" s="3" t="inlineStr">
        <is>
          <t>Net Sale Proceeds</t>
        </is>
      </c>
      <c r="J36" s="14">
        <f>J33*(1-J34)*(1-J35)</f>
        <v/>
      </c>
      <c r="K36" s="3" t="inlineStr">
        <is>
          <t>After debt paid (yr)</t>
        </is>
      </c>
      <c r="L36" s="26">
        <f>MAX(C35,C43)</f>
        <v/>
      </c>
    </row>
    <row r="37">
      <c r="B37" s="16" t="inlineStr">
        <is>
          <t>Equity Tranche 1</t>
        </is>
      </c>
      <c r="C37" s="17">
        <f>C17-D33</f>
        <v/>
      </c>
      <c r="D37" s="18" t="n"/>
      <c r="F37" s="3" t="inlineStr">
        <is>
          <t>Profit</t>
        </is>
      </c>
      <c r="G37" s="27">
        <f>G35-C28</f>
        <v/>
      </c>
      <c r="I37" s="3" t="inlineStr">
        <is>
          <t>Total Cash (rent + sale)</t>
        </is>
      </c>
      <c r="J37" s="27">
        <f>G27*J32+J36</f>
        <v/>
      </c>
      <c r="K37" s="3" t="inlineStr">
        <is>
          <t>FCF after debt paid</t>
        </is>
      </c>
      <c r="L37" s="27">
        <f>G24</f>
        <v/>
      </c>
    </row>
    <row r="38">
      <c r="I38" s="3" t="inlineStr">
        <is>
          <t>Multiple on Equity</t>
        </is>
      </c>
      <c r="J38" s="28">
        <f>J37/C48</f>
        <v/>
      </c>
    </row>
    <row r="39">
      <c r="B39" s="12" t="inlineStr">
        <is>
          <t>Tranche 2 — Construction</t>
        </is>
      </c>
      <c r="C39" s="13" t="n"/>
      <c r="D39" s="13" t="n"/>
    </row>
    <row r="40">
      <c r="B40" s="3" t="inlineStr">
        <is>
          <t>Source</t>
        </is>
      </c>
      <c r="C40" s="4" t="inlineStr">
        <is>
          <t>Bank Loan</t>
        </is>
      </c>
    </row>
    <row r="41">
      <c r="B41" s="3" t="inlineStr">
        <is>
          <t>Loan-to-Cost %</t>
        </is>
      </c>
      <c r="C41" s="15" t="n">
        <v>0.6</v>
      </c>
      <c r="D41" s="14">
        <f>C24*C41</f>
        <v/>
      </c>
    </row>
    <row r="42">
      <c r="B42" s="3" t="inlineStr">
        <is>
          <t>Interest Rate</t>
        </is>
      </c>
      <c r="C42" s="15" t="n">
        <v>0.03</v>
      </c>
    </row>
    <row r="43">
      <c r="B43" s="3" t="inlineStr">
        <is>
          <t>Term (years)</t>
        </is>
      </c>
      <c r="C43" s="8" t="n">
        <v>15</v>
      </c>
    </row>
    <row r="44">
      <c r="B44" s="3" t="inlineStr">
        <is>
          <t>Type</t>
        </is>
      </c>
      <c r="C44" s="4" t="inlineStr">
        <is>
          <t>Amortizing</t>
        </is>
      </c>
    </row>
    <row r="45">
      <c r="B45" s="16" t="inlineStr">
        <is>
          <t>Equity Tranche 2</t>
        </is>
      </c>
      <c r="C45" s="17">
        <f>C24-D41</f>
        <v/>
      </c>
      <c r="D45" s="18" t="n"/>
    </row>
    <row r="47">
      <c r="B47" s="19" t="inlineStr"/>
    </row>
    <row r="48">
      <c r="B48" s="29" t="inlineStr">
        <is>
          <t>TOTAL EQUITY REQUIRED</t>
        </is>
      </c>
      <c r="C48" s="30">
        <f>C37+C45</f>
        <v/>
      </c>
      <c r="D48" s="31" t="n"/>
    </row>
    <row r="49">
      <c r="B49" s="32" t="inlineStr">
        <is>
          <t>TOTAL DEBT</t>
        </is>
      </c>
      <c r="C49" s="33">
        <f>D33+D41</f>
        <v/>
      </c>
    </row>
    <row r="50">
      <c r="B50" s="3" t="inlineStr">
        <is>
          <t>Est. Annual Debt Service</t>
        </is>
      </c>
      <c r="C50" s="14">
        <f>IF(D33&gt;0,PMT(C34,C35,-D33),0)+IF(D41&gt;0,PMT(C42,C43,-D41),0)</f>
        <v/>
      </c>
    </row>
    <row r="53">
      <c r="B53" s="1" t="inlineStr">
        <is>
          <t>10-YEAR CASH FLOW PROJECTION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B54" s="34" t="inlineStr"/>
      <c r="C54" s="35" t="inlineStr">
        <is>
          <t>Year 0</t>
        </is>
      </c>
      <c r="D54" s="35" t="inlineStr">
        <is>
          <t>Year 1</t>
        </is>
      </c>
      <c r="E54" s="35" t="inlineStr">
        <is>
          <t>Year 2</t>
        </is>
      </c>
      <c r="F54" s="35" t="inlineStr">
        <is>
          <t>Year 3</t>
        </is>
      </c>
      <c r="G54" s="35" t="inlineStr">
        <is>
          <t>Year 4</t>
        </is>
      </c>
      <c r="H54" s="35" t="inlineStr">
        <is>
          <t>Year 5</t>
        </is>
      </c>
      <c r="I54" s="35" t="inlineStr">
        <is>
          <t>Year 6</t>
        </is>
      </c>
      <c r="J54" s="35" t="inlineStr">
        <is>
          <t>Year 7</t>
        </is>
      </c>
      <c r="K54" s="35" t="inlineStr">
        <is>
          <t>Year 8</t>
        </is>
      </c>
      <c r="L54" s="35" t="inlineStr">
        <is>
          <t>Year 9</t>
        </is>
      </c>
      <c r="M54" s="35" t="inlineStr">
        <is>
          <t>Year 10</t>
        </is>
      </c>
    </row>
    <row r="55">
      <c r="B55" s="32" t="inlineStr">
        <is>
          <t>Equity Invested</t>
        </is>
      </c>
      <c r="C55" s="36">
        <f>-C48</f>
        <v/>
      </c>
    </row>
    <row r="56">
      <c r="B56" s="34" t="inlineStr">
        <is>
          <t>Gross Revenue</t>
        </is>
      </c>
      <c r="C56" s="37" t="inlineStr"/>
      <c r="D56" s="38">
        <f>G18</f>
        <v/>
      </c>
      <c r="E56" s="38">
        <f>G18</f>
        <v/>
      </c>
      <c r="F56" s="38">
        <f>G18</f>
        <v/>
      </c>
      <c r="G56" s="38">
        <f>G18</f>
        <v/>
      </c>
      <c r="H56" s="38">
        <f>G18</f>
        <v/>
      </c>
      <c r="I56" s="38">
        <f>G18</f>
        <v/>
      </c>
      <c r="J56" s="38">
        <f>G18</f>
        <v/>
      </c>
      <c r="K56" s="38">
        <f>G18</f>
        <v/>
      </c>
      <c r="L56" s="38">
        <f>G18</f>
        <v/>
      </c>
      <c r="M56" s="38">
        <f>G18</f>
        <v/>
      </c>
    </row>
    <row r="57">
      <c r="B57" s="34" t="inlineStr">
        <is>
          <t>Operating Costs</t>
        </is>
      </c>
      <c r="C57" s="37" t="inlineStr"/>
      <c r="D57" s="36">
        <f>-(H21+H22+G23)</f>
        <v/>
      </c>
      <c r="E57" s="36">
        <f>-(H21+H22+G23)</f>
        <v/>
      </c>
      <c r="F57" s="36">
        <f>-(H21+H22+G23)</f>
        <v/>
      </c>
      <c r="G57" s="36">
        <f>-(H21+H22+G23)</f>
        <v/>
      </c>
      <c r="H57" s="36">
        <f>-(H21+H22+G23)</f>
        <v/>
      </c>
      <c r="I57" s="36">
        <f>-(H21+H22+G23)</f>
        <v/>
      </c>
      <c r="J57" s="36">
        <f>-(H21+H22+G23)</f>
        <v/>
      </c>
      <c r="K57" s="36">
        <f>-(H21+H22+G23)</f>
        <v/>
      </c>
      <c r="L57" s="36">
        <f>-(H21+H22+G23)</f>
        <v/>
      </c>
      <c r="M57" s="36">
        <f>-(H21+H22+G23)</f>
        <v/>
      </c>
    </row>
    <row r="58">
      <c r="B58" s="39" t="inlineStr">
        <is>
          <t>EBITDA</t>
        </is>
      </c>
      <c r="C58" s="40" t="inlineStr"/>
      <c r="D58" s="41">
        <f>D56+D57</f>
        <v/>
      </c>
      <c r="E58" s="41">
        <f>E56+E57</f>
        <v/>
      </c>
      <c r="F58" s="41">
        <f>F56+F57</f>
        <v/>
      </c>
      <c r="G58" s="41">
        <f>G56+G57</f>
        <v/>
      </c>
      <c r="H58" s="41">
        <f>H56+H57</f>
        <v/>
      </c>
      <c r="I58" s="41">
        <f>I56+I57</f>
        <v/>
      </c>
      <c r="J58" s="41">
        <f>J56+J57</f>
        <v/>
      </c>
      <c r="K58" s="41">
        <f>K56+K57</f>
        <v/>
      </c>
      <c r="L58" s="41">
        <f>L56+L57</f>
        <v/>
      </c>
      <c r="M58" s="41">
        <f>M56+M57</f>
        <v/>
      </c>
    </row>
    <row r="59">
      <c r="B59" s="34" t="inlineStr">
        <is>
          <t>Debt Service</t>
        </is>
      </c>
      <c r="C59" s="37" t="inlineStr"/>
      <c r="D59" s="36">
        <f>-C50</f>
        <v/>
      </c>
      <c r="E59" s="36">
        <f>-C50</f>
        <v/>
      </c>
      <c r="F59" s="36">
        <f>-C50</f>
        <v/>
      </c>
      <c r="G59" s="36">
        <f>-C50</f>
        <v/>
      </c>
      <c r="H59" s="36">
        <f>-C50</f>
        <v/>
      </c>
      <c r="I59" s="36">
        <f>-C50</f>
        <v/>
      </c>
      <c r="J59" s="36">
        <f>-C50</f>
        <v/>
      </c>
      <c r="K59" s="36">
        <f>-C50</f>
        <v/>
      </c>
      <c r="L59" s="36">
        <f>-C50</f>
        <v/>
      </c>
      <c r="M59" s="36">
        <f>-C50</f>
        <v/>
      </c>
    </row>
    <row r="60">
      <c r="B60" s="39" t="inlineStr">
        <is>
          <t>Free Cash Flow</t>
        </is>
      </c>
      <c r="C60" s="40" t="inlineStr"/>
      <c r="D60" s="42">
        <f>D58+D59</f>
        <v/>
      </c>
      <c r="E60" s="42">
        <f>E58+E59</f>
        <v/>
      </c>
      <c r="F60" s="42">
        <f>F58+F59</f>
        <v/>
      </c>
      <c r="G60" s="42">
        <f>G58+G59</f>
        <v/>
      </c>
      <c r="H60" s="42">
        <f>H58+H59</f>
        <v/>
      </c>
      <c r="I60" s="42">
        <f>I58+I59</f>
        <v/>
      </c>
      <c r="J60" s="42">
        <f>J58+J59</f>
        <v/>
      </c>
      <c r="K60" s="42">
        <f>K58+K59</f>
        <v/>
      </c>
      <c r="L60" s="42">
        <f>L58+L59</f>
        <v/>
      </c>
      <c r="M60" s="42">
        <f>M58+M59</f>
        <v/>
      </c>
    </row>
    <row r="61">
      <c r="B61" s="34" t="inlineStr"/>
    </row>
    <row r="62">
      <c r="B62" s="34" t="inlineStr">
        <is>
          <t>Cumulative Cash Flow</t>
        </is>
      </c>
      <c r="C62" s="38">
        <f>-C48</f>
        <v/>
      </c>
      <c r="D62" s="38">
        <f>C62+D60</f>
        <v/>
      </c>
      <c r="E62" s="38">
        <f>D62+E60</f>
        <v/>
      </c>
      <c r="F62" s="38">
        <f>E62+F60</f>
        <v/>
      </c>
      <c r="G62" s="38">
        <f>F62+G60</f>
        <v/>
      </c>
      <c r="H62" s="38">
        <f>G62+H60</f>
        <v/>
      </c>
      <c r="I62" s="38">
        <f>H62+I60</f>
        <v/>
      </c>
      <c r="J62" s="38">
        <f>I62+J60</f>
        <v/>
      </c>
      <c r="K62" s="38">
        <f>J62+K60</f>
        <v/>
      </c>
      <c r="L62" s="38">
        <f>K62+L60</f>
        <v/>
      </c>
      <c r="M62" s="38">
        <f>L62+M60</f>
        <v/>
      </c>
    </row>
    <row r="63">
      <c r="B63" s="34" t="inlineStr">
        <is>
          <t>Cash-on-Cash Return</t>
        </is>
      </c>
      <c r="C63" s="37" t="inlineStr"/>
      <c r="D63" s="43">
        <f>D60/C48</f>
        <v/>
      </c>
      <c r="E63" s="43">
        <f>E60/C48</f>
        <v/>
      </c>
      <c r="F63" s="43">
        <f>F60/C48</f>
        <v/>
      </c>
      <c r="G63" s="43">
        <f>G60/C48</f>
        <v/>
      </c>
      <c r="H63" s="43">
        <f>H60/C48</f>
        <v/>
      </c>
      <c r="I63" s="43">
        <f>I60/C48</f>
        <v/>
      </c>
      <c r="J63" s="43">
        <f>J60/C48</f>
        <v/>
      </c>
      <c r="K63" s="43">
        <f>K60/C48</f>
        <v/>
      </c>
      <c r="L63" s="43">
        <f>L60/C48</f>
        <v/>
      </c>
      <c r="M63" s="43">
        <f>M60/C48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2026-04-14T11:53:00Z</dcterms:created>
  <dcterms:modified xsi:type="dcterms:W3CDTF">2026-04-14T11:53:00Z</dcterms:modified>
</cp:coreProperties>
</file>